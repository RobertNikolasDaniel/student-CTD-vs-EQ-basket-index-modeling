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C5E1935A-7726-45A4-AE68-BA2F1A25B74D}" xr6:coauthVersionLast="47" xr6:coauthVersionMax="47" xr10:uidLastSave="{00000000-0000-0000-0000-000000000000}"/>
  <bookViews>
    <workbookView xWindow="-28920" yWindow="-120" windowWidth="29040" windowHeight="15720" xr2:uid="{2EF16AF2-4898-464D-BE54-1B9ADAB98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9" i="1" l="1"/>
  <c r="R9" i="1"/>
  <c r="Q9" i="1"/>
  <c r="S9" i="1" s="1"/>
  <c r="G7" i="1"/>
  <c r="L7" i="1" s="1"/>
  <c r="I7" i="1" s="1"/>
  <c r="K7" i="1"/>
  <c r="H7" i="1" s="1"/>
  <c r="G8" i="1"/>
  <c r="K8" i="1" s="1"/>
  <c r="H8" i="1" s="1"/>
  <c r="G9" i="1"/>
  <c r="K9" i="1" s="1"/>
  <c r="H9" i="1" s="1"/>
  <c r="M9" i="1"/>
  <c r="J9" i="1" s="1"/>
  <c r="G10" i="1"/>
  <c r="K10" i="1"/>
  <c r="H10" i="1" s="1"/>
  <c r="L10" i="1"/>
  <c r="I10" i="1" s="1"/>
  <c r="M10" i="1"/>
  <c r="J10" i="1" s="1"/>
  <c r="G11" i="1"/>
  <c r="K11" i="1"/>
  <c r="H11" i="1" s="1"/>
  <c r="L11" i="1"/>
  <c r="I11" i="1" s="1"/>
  <c r="M11" i="1"/>
  <c r="J11" i="1" s="1"/>
  <c r="G12" i="1"/>
  <c r="K12" i="1" s="1"/>
  <c r="H12" i="1" s="1"/>
  <c r="G13" i="1"/>
  <c r="L13" i="1" s="1"/>
  <c r="I13" i="1" s="1"/>
  <c r="K13" i="1"/>
  <c r="H13" i="1" s="1"/>
  <c r="M13" i="1"/>
  <c r="J13" i="1" s="1"/>
  <c r="G14" i="1"/>
  <c r="K14" i="1" s="1"/>
  <c r="H14" i="1" s="1"/>
  <c r="G15" i="1"/>
  <c r="K15" i="1"/>
  <c r="H15" i="1" s="1"/>
  <c r="L15" i="1"/>
  <c r="I15" i="1" s="1"/>
  <c r="M15" i="1"/>
  <c r="J15" i="1" s="1"/>
  <c r="G16" i="1"/>
  <c r="M16" i="1" s="1"/>
  <c r="J16" i="1" s="1"/>
  <c r="K16" i="1"/>
  <c r="H16" i="1" s="1"/>
  <c r="L16" i="1"/>
  <c r="I16" i="1" s="1"/>
  <c r="G17" i="1"/>
  <c r="K17" i="1"/>
  <c r="H17" i="1" s="1"/>
  <c r="L17" i="1"/>
  <c r="I17" i="1" s="1"/>
  <c r="M17" i="1"/>
  <c r="J17" i="1" s="1"/>
  <c r="G18" i="1"/>
  <c r="K18" i="1"/>
  <c r="H18" i="1" s="1"/>
  <c r="L18" i="1"/>
  <c r="I18" i="1" s="1"/>
  <c r="M18" i="1"/>
  <c r="J18" i="1" s="1"/>
  <c r="G19" i="1"/>
  <c r="K19" i="1" s="1"/>
  <c r="H19" i="1" s="1"/>
  <c r="G20" i="1"/>
  <c r="K20" i="1" s="1"/>
  <c r="H20" i="1" s="1"/>
  <c r="L20" i="1"/>
  <c r="I20" i="1" s="1"/>
  <c r="M20" i="1"/>
  <c r="J20" i="1" s="1"/>
  <c r="G21" i="1"/>
  <c r="K21" i="1" s="1"/>
  <c r="H21" i="1" s="1"/>
  <c r="G22" i="1"/>
  <c r="J22" i="1"/>
  <c r="K22" i="1"/>
  <c r="H22" i="1" s="1"/>
  <c r="L22" i="1"/>
  <c r="I22" i="1" s="1"/>
  <c r="M22" i="1"/>
  <c r="G23" i="1"/>
  <c r="L23" i="1" s="1"/>
  <c r="I23" i="1" s="1"/>
  <c r="K23" i="1"/>
  <c r="H23" i="1" s="1"/>
  <c r="G24" i="1"/>
  <c r="K24" i="1"/>
  <c r="H24" i="1" s="1"/>
  <c r="L24" i="1"/>
  <c r="I24" i="1" s="1"/>
  <c r="M24" i="1"/>
  <c r="J24" i="1" s="1"/>
  <c r="G25" i="1"/>
  <c r="K25" i="1"/>
  <c r="H25" i="1" s="1"/>
  <c r="L25" i="1"/>
  <c r="I25" i="1" s="1"/>
  <c r="M25" i="1"/>
  <c r="J25" i="1" s="1"/>
  <c r="G26" i="1"/>
  <c r="K26" i="1"/>
  <c r="H26" i="1" s="1"/>
  <c r="L26" i="1"/>
  <c r="I26" i="1" s="1"/>
  <c r="M26" i="1"/>
  <c r="J26" i="1" s="1"/>
  <c r="G27" i="1"/>
  <c r="K27" i="1"/>
  <c r="H27" i="1" s="1"/>
  <c r="L27" i="1"/>
  <c r="I27" i="1" s="1"/>
  <c r="M27" i="1"/>
  <c r="J27" i="1" s="1"/>
  <c r="G28" i="1"/>
  <c r="K28" i="1" s="1"/>
  <c r="H28" i="1" s="1"/>
  <c r="G29" i="1"/>
  <c r="I29" i="1"/>
  <c r="K29" i="1"/>
  <c r="H29" i="1" s="1"/>
  <c r="L29" i="1"/>
  <c r="M29" i="1"/>
  <c r="J29" i="1" s="1"/>
  <c r="J5" i="1"/>
  <c r="I5" i="1"/>
  <c r="H5" i="1"/>
  <c r="M5" i="1"/>
  <c r="L5" i="1"/>
  <c r="K5" i="1"/>
  <c r="G33" i="1"/>
  <c r="M33" i="1" s="1"/>
  <c r="J33" i="1" s="1"/>
  <c r="G6" i="1"/>
  <c r="G5" i="1"/>
  <c r="M8" i="1" l="1"/>
  <c r="J8" i="1" s="1"/>
  <c r="L8" i="1"/>
  <c r="I8" i="1" s="1"/>
  <c r="L9" i="1"/>
  <c r="I9" i="1" s="1"/>
  <c r="Q12" i="1"/>
  <c r="P5" i="1"/>
  <c r="K33" i="1"/>
  <c r="L33" i="1"/>
  <c r="K6" i="1"/>
  <c r="H6" i="1" s="1"/>
  <c r="Q5" i="1" s="1"/>
  <c r="T5" i="1" s="1"/>
  <c r="R10" i="1" s="1"/>
  <c r="M6" i="1"/>
  <c r="J6" i="1" s="1"/>
  <c r="L6" i="1"/>
  <c r="I6" i="1" s="1"/>
  <c r="M19" i="1"/>
  <c r="J19" i="1" s="1"/>
  <c r="M28" i="1"/>
  <c r="J28" i="1" s="1"/>
  <c r="L19" i="1"/>
  <c r="I19" i="1" s="1"/>
  <c r="M12" i="1"/>
  <c r="J12" i="1" s="1"/>
  <c r="L28" i="1"/>
  <c r="I28" i="1" s="1"/>
  <c r="M21" i="1"/>
  <c r="J21" i="1" s="1"/>
  <c r="L12" i="1"/>
  <c r="I12" i="1" s="1"/>
  <c r="L21" i="1"/>
  <c r="I21" i="1" s="1"/>
  <c r="M14" i="1"/>
  <c r="J14" i="1" s="1"/>
  <c r="M23" i="1"/>
  <c r="J23" i="1" s="1"/>
  <c r="L14" i="1"/>
  <c r="I14" i="1" s="1"/>
  <c r="M7" i="1"/>
  <c r="J7" i="1" s="1"/>
  <c r="R5" i="1" l="1"/>
  <c r="U5" i="1" s="1"/>
  <c r="R11" i="1" s="1"/>
  <c r="I33" i="1"/>
  <c r="Q11" i="1"/>
  <c r="H33" i="1"/>
  <c r="Q10" i="1"/>
  <c r="S10" i="1" s="1"/>
  <c r="S5" i="1"/>
  <c r="V5" i="1" s="1"/>
  <c r="R12" i="1" s="1"/>
  <c r="S12" i="1" s="1"/>
  <c r="S11" i="1" l="1"/>
</calcChain>
</file>

<file path=xl/sharedStrings.xml><?xml version="1.0" encoding="utf-8"?>
<sst xmlns="http://schemas.openxmlformats.org/spreadsheetml/2006/main" count="61" uniqueCount="24">
  <si>
    <t>CTD Basket</t>
  </si>
  <si>
    <t>Dirty</t>
  </si>
  <si>
    <t>Yield</t>
  </si>
  <si>
    <t>Outputs</t>
  </si>
  <si>
    <t>Funding</t>
  </si>
  <si>
    <t>Carry</t>
  </si>
  <si>
    <t>Repo</t>
  </si>
  <si>
    <t>Spread</t>
  </si>
  <si>
    <t>Proj TR</t>
  </si>
  <si>
    <t>30 days</t>
  </si>
  <si>
    <t>60 days</t>
  </si>
  <si>
    <t>90 days</t>
  </si>
  <si>
    <t>CTD</t>
  </si>
  <si>
    <t># In Basket</t>
  </si>
  <si>
    <t>CTD-Basket-Carry-Modeling</t>
  </si>
  <si>
    <t xml:space="preserve">Proj TR </t>
  </si>
  <si>
    <t>EQ Index</t>
  </si>
  <si>
    <t>EQ vs CTD</t>
  </si>
  <si>
    <t>EQ</t>
  </si>
  <si>
    <t>Days</t>
  </si>
  <si>
    <t>Basis</t>
  </si>
  <si>
    <t>Carry Basis</t>
  </si>
  <si>
    <t>CTD- EQ</t>
  </si>
  <si>
    <t>CTD-EQ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</si>
</sst>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5" borderId="2" xfId="0" applyFill="1" applyBorder="1"/>
    <xf numFmtId="0" fontId="2" fillId="4" borderId="0" xfId="0" applyFont="1" applyFill="1"/>
    <xf numFmtId="0" fontId="0" fillId="6" borderId="3" xfId="0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0" xfId="0" applyFont="1" applyFill="1" applyBorder="1"/>
    <xf numFmtId="0" fontId="2" fillId="0" borderId="0" xfId="0" applyFont="1" applyFill="1"/>
    <xf numFmtId="0" fontId="0" fillId="0" borderId="0" xfId="0" applyFill="1" applyBorder="1"/>
    <xf numFmtId="0" fontId="0" fillId="5" borderId="3" xfId="0" applyFill="1" applyBorder="1"/>
    <xf numFmtId="0" fontId="0" fillId="0" borderId="0" xfId="0" applyFill="1" applyAlignment="1">
      <alignment wrapText="1"/>
    </xf>
    <xf numFmtId="0" fontId="0" fillId="7" borderId="2" xfId="0" applyFill="1" applyBorder="1"/>
    <xf numFmtId="0" fontId="0" fillId="8" borderId="2" xfId="0" applyFill="1" applyBorder="1"/>
    <xf numFmtId="0" fontId="0" fillId="8" borderId="3" xfId="0" applyFill="1" applyBorder="1"/>
    <xf numFmtId="0" fontId="0" fillId="7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CTD vs EQ Weighted Basket Index Carry Adj Total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CTD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Sheet1!$P$9:$P$12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</c:numCache>
            </c:numRef>
          </c:xVal>
          <c:yVal>
            <c:numRef>
              <c:f>Sheet1!$Q$9:$Q$12</c:f>
              <c:numCache>
                <c:formatCode>General</c:formatCode>
                <c:ptCount val="4"/>
                <c:pt idx="0">
                  <c:v>100</c:v>
                </c:pt>
                <c:pt idx="1">
                  <c:v>100.08336806520263</c:v>
                </c:pt>
                <c:pt idx="2">
                  <c:v>100.16680563274821</c:v>
                </c:pt>
                <c:pt idx="3">
                  <c:v>100.25031276057952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B-4A58-A70A-1CA535A1A475}"/>
            </c:ext>
          </c:extLst>
        </c:ser>
        <c:ser>
          <c:idx val="1"/>
          <c:order val="1"/>
          <c:tx>
            <c:v>Index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Sheet1!$P$9:$P$12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</c:numCache>
            </c:numRef>
          </c:xVal>
          <c:yVal>
            <c:numRef>
              <c:f>Sheet1!$R$9:$R$12</c:f>
              <c:numCache>
                <c:formatCode>General</c:formatCode>
                <c:ptCount val="4"/>
                <c:pt idx="0">
                  <c:v>100</c:v>
                </c:pt>
                <c:pt idx="1">
                  <c:v>100.02911255447455</c:v>
                </c:pt>
                <c:pt idx="2">
                  <c:v>100.05826966682545</c:v>
                </c:pt>
                <c:pt idx="3">
                  <c:v>100.08747134380064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3B-4A58-A70A-1CA535A1A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018736"/>
        <c:axId val="2073030736"/>
      </c:scatterChart>
      <c:valAx>
        <c:axId val="207301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30736"/>
        <c:crosses val="autoZero"/>
        <c:crossBetween val="midCat"/>
      </c:valAx>
      <c:valAx>
        <c:axId val="20730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In CTD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18736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666749</xdr:colOff>
      <xdr:row>12</xdr:row>
      <xdr:rowOff>178858</xdr:rowOff>
    </xdr:from>
    <xdr:to>
      <xdr:col>26</xdr:col>
      <xdr:colOff>10582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9E2D17-4720-E2BB-CAC7-B8B19FFA7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F915-1E95-4695-B546-AE8BEDF283DF}">
  <dimension ref="A1:V36"/>
  <sheetViews>
    <sheetView tabSelected="1" zoomScale="90" zoomScaleNormal="90" workbookViewId="0">
      <selection activeCell="A2" sqref="A2"/>
    </sheetView>
  </sheetViews>
  <sheetFormatPr defaultRowHeight="15" x14ac:dyDescent="0.25"/>
  <cols>
    <col min="1" max="1" width="29.140625" customWidth="1"/>
    <col min="2" max="2" width="13" customWidth="1"/>
    <col min="3" max="3" width="10.85546875" customWidth="1"/>
    <col min="4" max="5" width="9.85546875" customWidth="1"/>
    <col min="6" max="6" width="10.42578125" customWidth="1"/>
    <col min="14" max="14" width="10" customWidth="1"/>
    <col min="21" max="21" width="10.28515625" customWidth="1"/>
  </cols>
  <sheetData>
    <row r="1" spans="1:22" ht="34.5" customHeight="1" x14ac:dyDescent="0.25">
      <c r="A1" s="1" t="s">
        <v>14</v>
      </c>
      <c r="N1" s="12"/>
    </row>
    <row r="2" spans="1:22" ht="15.75" thickBot="1" x14ac:dyDescent="0.3">
      <c r="A2" s="9"/>
    </row>
    <row r="3" spans="1:22" ht="24" customHeight="1" thickBot="1" x14ac:dyDescent="0.3">
      <c r="B3" s="2" t="s">
        <v>0</v>
      </c>
      <c r="F3" s="2" t="s">
        <v>3</v>
      </c>
      <c r="H3" t="s">
        <v>9</v>
      </c>
      <c r="I3" t="s">
        <v>10</v>
      </c>
      <c r="J3" t="s">
        <v>11</v>
      </c>
      <c r="K3" t="s">
        <v>9</v>
      </c>
      <c r="L3" t="s">
        <v>10</v>
      </c>
      <c r="M3" t="s">
        <v>11</v>
      </c>
      <c r="O3" s="2" t="s">
        <v>16</v>
      </c>
      <c r="Q3" t="s">
        <v>9</v>
      </c>
      <c r="R3" t="s">
        <v>10</v>
      </c>
      <c r="S3" t="s">
        <v>11</v>
      </c>
      <c r="T3" t="s">
        <v>9</v>
      </c>
      <c r="U3" t="s">
        <v>10</v>
      </c>
      <c r="V3" t="s">
        <v>11</v>
      </c>
    </row>
    <row r="4" spans="1:22" ht="18.75" customHeight="1" x14ac:dyDescent="0.25">
      <c r="C4" s="6" t="s">
        <v>1</v>
      </c>
      <c r="D4" s="7" t="s">
        <v>2</v>
      </c>
      <c r="E4" s="4" t="s">
        <v>6</v>
      </c>
      <c r="G4" s="6" t="s">
        <v>7</v>
      </c>
      <c r="H4" s="7" t="s">
        <v>5</v>
      </c>
      <c r="I4" s="7" t="s">
        <v>5</v>
      </c>
      <c r="J4" s="7" t="s">
        <v>5</v>
      </c>
      <c r="K4" s="7" t="s">
        <v>15</v>
      </c>
      <c r="L4" s="7" t="s">
        <v>8</v>
      </c>
      <c r="M4" s="8" t="s">
        <v>8</v>
      </c>
      <c r="P4" s="8" t="s">
        <v>7</v>
      </c>
      <c r="Q4" s="8" t="s">
        <v>5</v>
      </c>
      <c r="R4" s="8" t="s">
        <v>5</v>
      </c>
      <c r="S4" s="8" t="s">
        <v>5</v>
      </c>
      <c r="T4" s="8" t="s">
        <v>8</v>
      </c>
      <c r="U4" s="8" t="s">
        <v>8</v>
      </c>
      <c r="V4" s="8" t="s">
        <v>8</v>
      </c>
    </row>
    <row r="5" spans="1:22" ht="15.75" thickBot="1" x14ac:dyDescent="0.3">
      <c r="B5">
        <v>1</v>
      </c>
      <c r="C5" s="3">
        <v>100</v>
      </c>
      <c r="D5" s="3">
        <v>0.05</v>
      </c>
      <c r="E5" s="3">
        <v>0.04</v>
      </c>
      <c r="G5" s="13">
        <f>D5-E5</f>
        <v>1.0000000000000002E-2</v>
      </c>
      <c r="H5" s="13">
        <f>K5-C5</f>
        <v>8.3368065202634511E-2</v>
      </c>
      <c r="I5" s="13">
        <f>L5-C5</f>
        <v>0.1668056327482077</v>
      </c>
      <c r="J5" s="13">
        <f>M5-C5</f>
        <v>0.25031276057951857</v>
      </c>
      <c r="K5" s="13">
        <f>C5*EXP(G5*(30/360))</f>
        <v>100.08336806520263</v>
      </c>
      <c r="L5" s="13">
        <f>C5*EXP(G5*(60/360))</f>
        <v>100.16680563274821</v>
      </c>
      <c r="M5" s="13">
        <f>C5*EXP(G5*(90/360))</f>
        <v>100.25031276057952</v>
      </c>
      <c r="P5" s="13">
        <f>SUM(G5:G29)/B36</f>
        <v>3.3333333333333327E-3</v>
      </c>
      <c r="Q5" s="13">
        <f>SUM(H5:H29)/B36</f>
        <v>2.9112554474553558E-2</v>
      </c>
      <c r="R5" s="13">
        <f>SUM(I5:I29)/B36</f>
        <v>5.8269666825459865E-2</v>
      </c>
      <c r="S5" s="13">
        <f>SUM(J5:J29)/B36</f>
        <v>8.7471343800646181E-2</v>
      </c>
      <c r="T5" s="13">
        <f>C33+Q5</f>
        <v>100.02911255447455</v>
      </c>
      <c r="U5" s="13">
        <f>C33+R5</f>
        <v>100.05826966682545</v>
      </c>
      <c r="V5" s="13">
        <f>C33+S5</f>
        <v>100.08747134380064</v>
      </c>
    </row>
    <row r="6" spans="1:22" ht="15.75" thickBot="1" x14ac:dyDescent="0.3">
      <c r="B6">
        <v>2</v>
      </c>
      <c r="C6" s="5">
        <v>90</v>
      </c>
      <c r="D6" s="5">
        <v>0.03</v>
      </c>
      <c r="E6" s="5">
        <v>4.2000000000000003E-2</v>
      </c>
      <c r="G6" s="14">
        <f t="shared" ref="G6:G33" si="0">D6-E6</f>
        <v>-1.2000000000000004E-2</v>
      </c>
      <c r="H6" s="14">
        <f>K6-C6</f>
        <v>-8.9955014996249361E-2</v>
      </c>
      <c r="I6" s="15">
        <f>L6-C6</f>
        <v>-0.17982011994001823</v>
      </c>
      <c r="J6" s="15">
        <f>M6-C6</f>
        <v>-0.26959540469643173</v>
      </c>
      <c r="K6" s="14">
        <f>C6*EXP(G6*(30/360))</f>
        <v>89.910044985003751</v>
      </c>
      <c r="L6" s="15">
        <f>C6*EXP(G6*(60/360))</f>
        <v>89.820179880059982</v>
      </c>
      <c r="M6" s="15">
        <f>C6*EXP(G6*(90/360))</f>
        <v>89.730404595303568</v>
      </c>
    </row>
    <row r="7" spans="1:22" ht="15.75" thickBot="1" x14ac:dyDescent="0.3">
      <c r="B7">
        <v>3</v>
      </c>
      <c r="C7" s="3">
        <v>95</v>
      </c>
      <c r="D7" s="3">
        <v>0.04</v>
      </c>
      <c r="E7" s="3">
        <v>3.3000000000000002E-2</v>
      </c>
      <c r="G7" s="13">
        <f t="shared" si="0"/>
        <v>6.9999999999999993E-3</v>
      </c>
      <c r="H7" s="13">
        <f t="shared" ref="H7:H29" si="1">K7-C7</f>
        <v>5.5432833004417148E-2</v>
      </c>
      <c r="I7" s="13">
        <f t="shared" ref="I7:I29" si="2">L7-C7</f>
        <v>0.1108980112611988</v>
      </c>
      <c r="J7" s="13">
        <f t="shared" ref="J7:J29" si="3">M7-C7</f>
        <v>0.16639555364390901</v>
      </c>
      <c r="K7" s="13">
        <f t="shared" ref="K7:K29" si="4">C7*EXP(G7*(30/360))</f>
        <v>95.055432833004417</v>
      </c>
      <c r="L7" s="13">
        <f t="shared" ref="L7:L29" si="5">C7*EXP(G7*(60/360))</f>
        <v>95.110898011261199</v>
      </c>
      <c r="M7" s="13">
        <f t="shared" ref="M7:M29" si="6">C7*EXP(G7*(90/360))</f>
        <v>95.166395553643909</v>
      </c>
      <c r="O7" s="2" t="s">
        <v>17</v>
      </c>
      <c r="S7" t="s">
        <v>22</v>
      </c>
      <c r="T7" s="2" t="s">
        <v>4</v>
      </c>
      <c r="U7" t="s">
        <v>23</v>
      </c>
    </row>
    <row r="8" spans="1:22" ht="15.75" thickBot="1" x14ac:dyDescent="0.3">
      <c r="B8">
        <v>4</v>
      </c>
      <c r="C8" s="5">
        <v>105</v>
      </c>
      <c r="D8" s="5">
        <v>5.7000000000000002E-2</v>
      </c>
      <c r="E8" s="5">
        <v>4.7600000000000003E-2</v>
      </c>
      <c r="G8" s="14">
        <f t="shared" ref="G8:G29" si="7">D8-E8</f>
        <v>9.3999999999999986E-3</v>
      </c>
      <c r="H8" s="14">
        <f t="shared" si="1"/>
        <v>8.2282222996568066E-2</v>
      </c>
      <c r="I8" s="15">
        <f t="shared" si="2"/>
        <v>0.16462892565236587</v>
      </c>
      <c r="J8" s="15">
        <f t="shared" si="3"/>
        <v>0.24704015849631844</v>
      </c>
      <c r="K8" s="14">
        <f t="shared" si="4"/>
        <v>105.08228222299657</v>
      </c>
      <c r="L8" s="15">
        <f t="shared" si="5"/>
        <v>105.16462892565237</v>
      </c>
      <c r="M8" s="15">
        <f t="shared" si="6"/>
        <v>105.24704015849632</v>
      </c>
      <c r="P8" s="6" t="s">
        <v>19</v>
      </c>
      <c r="Q8" s="7" t="s">
        <v>12</v>
      </c>
      <c r="R8" s="7" t="s">
        <v>18</v>
      </c>
      <c r="S8" s="8" t="s">
        <v>20</v>
      </c>
      <c r="U8" s="8" t="s">
        <v>21</v>
      </c>
    </row>
    <row r="9" spans="1:22" ht="15.75" thickBot="1" x14ac:dyDescent="0.3">
      <c r="B9">
        <v>5</v>
      </c>
      <c r="C9" s="3">
        <v>88</v>
      </c>
      <c r="D9" s="3">
        <v>3.2000000000000001E-2</v>
      </c>
      <c r="E9" s="3">
        <v>0.03</v>
      </c>
      <c r="G9" s="13">
        <f t="shared" si="7"/>
        <v>2.0000000000000018E-3</v>
      </c>
      <c r="H9" s="13">
        <f t="shared" si="1"/>
        <v>1.4667888956793718E-2</v>
      </c>
      <c r="I9" s="13">
        <f t="shared" si="2"/>
        <v>2.9338222765488808E-2</v>
      </c>
      <c r="J9" s="13">
        <f t="shared" si="3"/>
        <v>4.4011001833553109E-2</v>
      </c>
      <c r="K9" s="13">
        <f t="shared" si="4"/>
        <v>88.014667888956794</v>
      </c>
      <c r="L9" s="13">
        <f t="shared" si="5"/>
        <v>88.029338222765489</v>
      </c>
      <c r="M9" s="13">
        <f t="shared" si="6"/>
        <v>88.044011001833553</v>
      </c>
      <c r="P9" s="13">
        <v>0</v>
      </c>
      <c r="Q9" s="13">
        <f>C33</f>
        <v>100</v>
      </c>
      <c r="R9" s="13">
        <f>C33</f>
        <v>100</v>
      </c>
      <c r="S9" s="13">
        <f>Q9-R9</f>
        <v>0</v>
      </c>
      <c r="U9" s="13">
        <f>G33-P5</f>
        <v>6.6666666666666697E-3</v>
      </c>
    </row>
    <row r="10" spans="1:22" ht="15.75" thickBot="1" x14ac:dyDescent="0.3">
      <c r="B10">
        <v>6</v>
      </c>
      <c r="C10" s="5">
        <v>96.25</v>
      </c>
      <c r="D10" s="5">
        <v>4.3400000000000001E-2</v>
      </c>
      <c r="E10" s="5">
        <v>3.9800000000000002E-2</v>
      </c>
      <c r="G10" s="14">
        <f t="shared" si="7"/>
        <v>3.599999999999999E-3</v>
      </c>
      <c r="H10" s="14">
        <f t="shared" si="1"/>
        <v>2.8879331683157261E-2</v>
      </c>
      <c r="I10" s="15">
        <f t="shared" si="2"/>
        <v>5.7767328465516243E-2</v>
      </c>
      <c r="J10" s="15">
        <f t="shared" si="3"/>
        <v>8.666399294700966E-2</v>
      </c>
      <c r="K10" s="14">
        <f t="shared" si="4"/>
        <v>96.278879331683157</v>
      </c>
      <c r="L10" s="15">
        <f t="shared" si="5"/>
        <v>96.307767328465516</v>
      </c>
      <c r="M10" s="15">
        <f t="shared" si="6"/>
        <v>96.33666399294701</v>
      </c>
      <c r="P10" s="15">
        <v>30</v>
      </c>
      <c r="Q10" s="15">
        <f>K33</f>
        <v>100.08336806520263</v>
      </c>
      <c r="R10" s="15">
        <f>T5</f>
        <v>100.02911255447455</v>
      </c>
      <c r="S10" s="15">
        <f t="shared" ref="S10:S12" si="8">Q10-R10</f>
        <v>5.4255510728083323E-2</v>
      </c>
    </row>
    <row r="11" spans="1:22" ht="15.75" thickBot="1" x14ac:dyDescent="0.3">
      <c r="B11">
        <v>7</v>
      </c>
      <c r="C11" s="3"/>
      <c r="D11" s="3"/>
      <c r="E11" s="3"/>
      <c r="G11" s="13">
        <f t="shared" si="7"/>
        <v>0</v>
      </c>
      <c r="H11" s="13">
        <f t="shared" si="1"/>
        <v>0</v>
      </c>
      <c r="I11" s="13">
        <f t="shared" si="2"/>
        <v>0</v>
      </c>
      <c r="J11" s="13">
        <f t="shared" si="3"/>
        <v>0</v>
      </c>
      <c r="K11" s="13">
        <f t="shared" si="4"/>
        <v>0</v>
      </c>
      <c r="L11" s="13">
        <f t="shared" si="5"/>
        <v>0</v>
      </c>
      <c r="M11" s="13">
        <f t="shared" si="6"/>
        <v>0</v>
      </c>
      <c r="P11" s="16">
        <v>60</v>
      </c>
      <c r="Q11" s="16">
        <f>L33</f>
        <v>100.16680563274821</v>
      </c>
      <c r="R11" s="16">
        <f>U5</f>
        <v>100.05826966682545</v>
      </c>
      <c r="S11" s="16">
        <f t="shared" si="8"/>
        <v>0.10853596592275494</v>
      </c>
    </row>
    <row r="12" spans="1:22" ht="15.75" thickBot="1" x14ac:dyDescent="0.3">
      <c r="B12">
        <v>8</v>
      </c>
      <c r="C12" s="5"/>
      <c r="D12" s="5"/>
      <c r="E12" s="5"/>
      <c r="G12" s="14">
        <f t="shared" si="7"/>
        <v>0</v>
      </c>
      <c r="H12" s="14">
        <f t="shared" si="1"/>
        <v>0</v>
      </c>
      <c r="I12" s="15">
        <f t="shared" si="2"/>
        <v>0</v>
      </c>
      <c r="J12" s="15">
        <f t="shared" si="3"/>
        <v>0</v>
      </c>
      <c r="K12" s="14">
        <f t="shared" si="4"/>
        <v>0</v>
      </c>
      <c r="L12" s="15">
        <f t="shared" si="5"/>
        <v>0</v>
      </c>
      <c r="M12" s="15">
        <f t="shared" si="6"/>
        <v>0</v>
      </c>
      <c r="P12" s="15">
        <v>90</v>
      </c>
      <c r="Q12" s="15">
        <f>M33</f>
        <v>100.25031276057952</v>
      </c>
      <c r="R12" s="15">
        <f>V5</f>
        <v>100.08747134380064</v>
      </c>
      <c r="S12" s="15">
        <f t="shared" si="8"/>
        <v>0.16284141677887476</v>
      </c>
    </row>
    <row r="13" spans="1:22" ht="15.75" thickBot="1" x14ac:dyDescent="0.3">
      <c r="B13">
        <v>9</v>
      </c>
      <c r="C13" s="3"/>
      <c r="D13" s="3"/>
      <c r="E13" s="3"/>
      <c r="G13" s="13">
        <f t="shared" si="7"/>
        <v>0</v>
      </c>
      <c r="H13" s="13">
        <f t="shared" si="1"/>
        <v>0</v>
      </c>
      <c r="I13" s="13">
        <f t="shared" si="2"/>
        <v>0</v>
      </c>
      <c r="J13" s="13">
        <f t="shared" si="3"/>
        <v>0</v>
      </c>
      <c r="K13" s="13">
        <f t="shared" si="4"/>
        <v>0</v>
      </c>
      <c r="L13" s="13">
        <f t="shared" si="5"/>
        <v>0</v>
      </c>
      <c r="M13" s="13">
        <f t="shared" si="6"/>
        <v>0</v>
      </c>
    </row>
    <row r="14" spans="1:22" ht="15.75" thickBot="1" x14ac:dyDescent="0.3">
      <c r="B14">
        <v>10</v>
      </c>
      <c r="C14" s="5"/>
      <c r="D14" s="5"/>
      <c r="E14" s="5"/>
      <c r="G14" s="14">
        <f t="shared" si="7"/>
        <v>0</v>
      </c>
      <c r="H14" s="14">
        <f t="shared" si="1"/>
        <v>0</v>
      </c>
      <c r="I14" s="15">
        <f t="shared" si="2"/>
        <v>0</v>
      </c>
      <c r="J14" s="15">
        <f t="shared" si="3"/>
        <v>0</v>
      </c>
      <c r="K14" s="14">
        <f t="shared" si="4"/>
        <v>0</v>
      </c>
      <c r="L14" s="15">
        <f t="shared" si="5"/>
        <v>0</v>
      </c>
      <c r="M14" s="15">
        <f t="shared" si="6"/>
        <v>0</v>
      </c>
    </row>
    <row r="15" spans="1:22" ht="15.75" thickBot="1" x14ac:dyDescent="0.3">
      <c r="B15">
        <v>11</v>
      </c>
      <c r="C15" s="3"/>
      <c r="D15" s="3"/>
      <c r="E15" s="3"/>
      <c r="G15" s="13">
        <f t="shared" si="7"/>
        <v>0</v>
      </c>
      <c r="H15" s="13">
        <f t="shared" si="1"/>
        <v>0</v>
      </c>
      <c r="I15" s="13">
        <f t="shared" si="2"/>
        <v>0</v>
      </c>
      <c r="J15" s="13">
        <f t="shared" si="3"/>
        <v>0</v>
      </c>
      <c r="K15" s="13">
        <f t="shared" si="4"/>
        <v>0</v>
      </c>
      <c r="L15" s="13">
        <f t="shared" si="5"/>
        <v>0</v>
      </c>
      <c r="M15" s="13">
        <f t="shared" si="6"/>
        <v>0</v>
      </c>
    </row>
    <row r="16" spans="1:22" ht="15.75" thickBot="1" x14ac:dyDescent="0.3">
      <c r="B16">
        <v>12</v>
      </c>
      <c r="C16" s="5"/>
      <c r="D16" s="5"/>
      <c r="E16" s="5"/>
      <c r="G16" s="14">
        <f t="shared" si="7"/>
        <v>0</v>
      </c>
      <c r="H16" s="14">
        <f t="shared" si="1"/>
        <v>0</v>
      </c>
      <c r="I16" s="15">
        <f t="shared" si="2"/>
        <v>0</v>
      </c>
      <c r="J16" s="15">
        <f t="shared" si="3"/>
        <v>0</v>
      </c>
      <c r="K16" s="14">
        <f t="shared" si="4"/>
        <v>0</v>
      </c>
      <c r="L16" s="15">
        <f t="shared" si="5"/>
        <v>0</v>
      </c>
      <c r="M16" s="15">
        <f t="shared" si="6"/>
        <v>0</v>
      </c>
    </row>
    <row r="17" spans="2:13" ht="15.75" thickBot="1" x14ac:dyDescent="0.3">
      <c r="B17">
        <v>13</v>
      </c>
      <c r="C17" s="3"/>
      <c r="D17" s="3"/>
      <c r="E17" s="3"/>
      <c r="G17" s="13">
        <f t="shared" si="7"/>
        <v>0</v>
      </c>
      <c r="H17" s="13">
        <f t="shared" si="1"/>
        <v>0</v>
      </c>
      <c r="I17" s="13">
        <f t="shared" si="2"/>
        <v>0</v>
      </c>
      <c r="J17" s="13">
        <f t="shared" si="3"/>
        <v>0</v>
      </c>
      <c r="K17" s="13">
        <f t="shared" si="4"/>
        <v>0</v>
      </c>
      <c r="L17" s="13">
        <f t="shared" si="5"/>
        <v>0</v>
      </c>
      <c r="M17" s="13">
        <f t="shared" si="6"/>
        <v>0</v>
      </c>
    </row>
    <row r="18" spans="2:13" ht="15.75" thickBot="1" x14ac:dyDescent="0.3">
      <c r="B18">
        <v>14</v>
      </c>
      <c r="C18" s="5"/>
      <c r="D18" s="5"/>
      <c r="E18" s="5"/>
      <c r="G18" s="14">
        <f t="shared" si="7"/>
        <v>0</v>
      </c>
      <c r="H18" s="14">
        <f t="shared" si="1"/>
        <v>0</v>
      </c>
      <c r="I18" s="15">
        <f t="shared" si="2"/>
        <v>0</v>
      </c>
      <c r="J18" s="15">
        <f t="shared" si="3"/>
        <v>0</v>
      </c>
      <c r="K18" s="14">
        <f t="shared" si="4"/>
        <v>0</v>
      </c>
      <c r="L18" s="15">
        <f t="shared" si="5"/>
        <v>0</v>
      </c>
      <c r="M18" s="15">
        <f t="shared" si="6"/>
        <v>0</v>
      </c>
    </row>
    <row r="19" spans="2:13" ht="15.75" thickBot="1" x14ac:dyDescent="0.3">
      <c r="B19">
        <v>15</v>
      </c>
      <c r="C19" s="3"/>
      <c r="D19" s="3"/>
      <c r="E19" s="3"/>
      <c r="G19" s="13">
        <f t="shared" si="7"/>
        <v>0</v>
      </c>
      <c r="H19" s="13">
        <f t="shared" si="1"/>
        <v>0</v>
      </c>
      <c r="I19" s="13">
        <f t="shared" si="2"/>
        <v>0</v>
      </c>
      <c r="J19" s="13">
        <f t="shared" si="3"/>
        <v>0</v>
      </c>
      <c r="K19" s="13">
        <f t="shared" si="4"/>
        <v>0</v>
      </c>
      <c r="L19" s="13">
        <f t="shared" si="5"/>
        <v>0</v>
      </c>
      <c r="M19" s="13">
        <f t="shared" si="6"/>
        <v>0</v>
      </c>
    </row>
    <row r="20" spans="2:13" ht="15.75" thickBot="1" x14ac:dyDescent="0.3">
      <c r="B20">
        <v>16</v>
      </c>
      <c r="C20" s="5"/>
      <c r="D20" s="5"/>
      <c r="E20" s="5"/>
      <c r="G20" s="14">
        <f t="shared" si="7"/>
        <v>0</v>
      </c>
      <c r="H20" s="14">
        <f t="shared" si="1"/>
        <v>0</v>
      </c>
      <c r="I20" s="15">
        <f t="shared" si="2"/>
        <v>0</v>
      </c>
      <c r="J20" s="15">
        <f t="shared" si="3"/>
        <v>0</v>
      </c>
      <c r="K20" s="14">
        <f t="shared" si="4"/>
        <v>0</v>
      </c>
      <c r="L20" s="15">
        <f t="shared" si="5"/>
        <v>0</v>
      </c>
      <c r="M20" s="15">
        <f t="shared" si="6"/>
        <v>0</v>
      </c>
    </row>
    <row r="21" spans="2:13" ht="15.75" thickBot="1" x14ac:dyDescent="0.3">
      <c r="B21">
        <v>17</v>
      </c>
      <c r="C21" s="3"/>
      <c r="D21" s="3"/>
      <c r="E21" s="3"/>
      <c r="G21" s="13">
        <f t="shared" si="7"/>
        <v>0</v>
      </c>
      <c r="H21" s="13">
        <f t="shared" si="1"/>
        <v>0</v>
      </c>
      <c r="I21" s="13">
        <f t="shared" si="2"/>
        <v>0</v>
      </c>
      <c r="J21" s="13">
        <f t="shared" si="3"/>
        <v>0</v>
      </c>
      <c r="K21" s="13">
        <f t="shared" si="4"/>
        <v>0</v>
      </c>
      <c r="L21" s="13">
        <f t="shared" si="5"/>
        <v>0</v>
      </c>
      <c r="M21" s="13">
        <f t="shared" si="6"/>
        <v>0</v>
      </c>
    </row>
    <row r="22" spans="2:13" ht="15.75" thickBot="1" x14ac:dyDescent="0.3">
      <c r="B22">
        <v>18</v>
      </c>
      <c r="C22" s="5"/>
      <c r="D22" s="5"/>
      <c r="E22" s="5"/>
      <c r="G22" s="14">
        <f t="shared" si="7"/>
        <v>0</v>
      </c>
      <c r="H22" s="14">
        <f t="shared" si="1"/>
        <v>0</v>
      </c>
      <c r="I22" s="15">
        <f t="shared" si="2"/>
        <v>0</v>
      </c>
      <c r="J22" s="15">
        <f t="shared" si="3"/>
        <v>0</v>
      </c>
      <c r="K22" s="14">
        <f t="shared" si="4"/>
        <v>0</v>
      </c>
      <c r="L22" s="15">
        <f t="shared" si="5"/>
        <v>0</v>
      </c>
      <c r="M22" s="15">
        <f t="shared" si="6"/>
        <v>0</v>
      </c>
    </row>
    <row r="23" spans="2:13" ht="15.75" thickBot="1" x14ac:dyDescent="0.3">
      <c r="B23">
        <v>19</v>
      </c>
      <c r="C23" s="3"/>
      <c r="D23" s="3"/>
      <c r="E23" s="3"/>
      <c r="G23" s="13">
        <f t="shared" si="7"/>
        <v>0</v>
      </c>
      <c r="H23" s="13">
        <f t="shared" si="1"/>
        <v>0</v>
      </c>
      <c r="I23" s="13">
        <f t="shared" si="2"/>
        <v>0</v>
      </c>
      <c r="J23" s="13">
        <f t="shared" si="3"/>
        <v>0</v>
      </c>
      <c r="K23" s="13">
        <f t="shared" si="4"/>
        <v>0</v>
      </c>
      <c r="L23" s="13">
        <f t="shared" si="5"/>
        <v>0</v>
      </c>
      <c r="M23" s="13">
        <f t="shared" si="6"/>
        <v>0</v>
      </c>
    </row>
    <row r="24" spans="2:13" ht="15.75" thickBot="1" x14ac:dyDescent="0.3">
      <c r="B24">
        <v>20</v>
      </c>
      <c r="C24" s="5"/>
      <c r="D24" s="5"/>
      <c r="E24" s="5"/>
      <c r="G24" s="14">
        <f t="shared" si="7"/>
        <v>0</v>
      </c>
      <c r="H24" s="14">
        <f t="shared" si="1"/>
        <v>0</v>
      </c>
      <c r="I24" s="15">
        <f t="shared" si="2"/>
        <v>0</v>
      </c>
      <c r="J24" s="15">
        <f t="shared" si="3"/>
        <v>0</v>
      </c>
      <c r="K24" s="14">
        <f t="shared" si="4"/>
        <v>0</v>
      </c>
      <c r="L24" s="15">
        <f t="shared" si="5"/>
        <v>0</v>
      </c>
      <c r="M24" s="15">
        <f t="shared" si="6"/>
        <v>0</v>
      </c>
    </row>
    <row r="25" spans="2:13" ht="15.75" thickBot="1" x14ac:dyDescent="0.3">
      <c r="B25">
        <v>21</v>
      </c>
      <c r="C25" s="3"/>
      <c r="D25" s="3"/>
      <c r="E25" s="3"/>
      <c r="G25" s="13">
        <f t="shared" si="7"/>
        <v>0</v>
      </c>
      <c r="H25" s="13">
        <f t="shared" si="1"/>
        <v>0</v>
      </c>
      <c r="I25" s="13">
        <f t="shared" si="2"/>
        <v>0</v>
      </c>
      <c r="J25" s="13">
        <f t="shared" si="3"/>
        <v>0</v>
      </c>
      <c r="K25" s="13">
        <f t="shared" si="4"/>
        <v>0</v>
      </c>
      <c r="L25" s="13">
        <f t="shared" si="5"/>
        <v>0</v>
      </c>
      <c r="M25" s="13">
        <f t="shared" si="6"/>
        <v>0</v>
      </c>
    </row>
    <row r="26" spans="2:13" ht="15.75" thickBot="1" x14ac:dyDescent="0.3">
      <c r="B26">
        <v>22</v>
      </c>
      <c r="C26" s="5"/>
      <c r="D26" s="5"/>
      <c r="E26" s="5"/>
      <c r="G26" s="14">
        <f t="shared" si="7"/>
        <v>0</v>
      </c>
      <c r="H26" s="14">
        <f t="shared" si="1"/>
        <v>0</v>
      </c>
      <c r="I26" s="15">
        <f t="shared" si="2"/>
        <v>0</v>
      </c>
      <c r="J26" s="15">
        <f t="shared" si="3"/>
        <v>0</v>
      </c>
      <c r="K26" s="14">
        <f t="shared" si="4"/>
        <v>0</v>
      </c>
      <c r="L26" s="15">
        <f t="shared" si="5"/>
        <v>0</v>
      </c>
      <c r="M26" s="15">
        <f t="shared" si="6"/>
        <v>0</v>
      </c>
    </row>
    <row r="27" spans="2:13" ht="15.75" thickBot="1" x14ac:dyDescent="0.3">
      <c r="B27">
        <v>23</v>
      </c>
      <c r="C27" s="3"/>
      <c r="D27" s="3"/>
      <c r="E27" s="3"/>
      <c r="G27" s="13">
        <f t="shared" si="7"/>
        <v>0</v>
      </c>
      <c r="H27" s="13">
        <f t="shared" si="1"/>
        <v>0</v>
      </c>
      <c r="I27" s="13">
        <f t="shared" si="2"/>
        <v>0</v>
      </c>
      <c r="J27" s="13">
        <f t="shared" si="3"/>
        <v>0</v>
      </c>
      <c r="K27" s="13">
        <f t="shared" si="4"/>
        <v>0</v>
      </c>
      <c r="L27" s="13">
        <f t="shared" si="5"/>
        <v>0</v>
      </c>
      <c r="M27" s="13">
        <f t="shared" si="6"/>
        <v>0</v>
      </c>
    </row>
    <row r="28" spans="2:13" ht="15.75" thickBot="1" x14ac:dyDescent="0.3">
      <c r="B28">
        <v>24</v>
      </c>
      <c r="C28" s="5"/>
      <c r="D28" s="5"/>
      <c r="E28" s="5"/>
      <c r="G28" s="14">
        <f t="shared" si="7"/>
        <v>0</v>
      </c>
      <c r="H28" s="14">
        <f t="shared" si="1"/>
        <v>0</v>
      </c>
      <c r="I28" s="15">
        <f t="shared" si="2"/>
        <v>0</v>
      </c>
      <c r="J28" s="15">
        <f t="shared" si="3"/>
        <v>0</v>
      </c>
      <c r="K28" s="14">
        <f t="shared" si="4"/>
        <v>0</v>
      </c>
      <c r="L28" s="15">
        <f t="shared" si="5"/>
        <v>0</v>
      </c>
      <c r="M28" s="15">
        <f t="shared" si="6"/>
        <v>0</v>
      </c>
    </row>
    <row r="29" spans="2:13" ht="15.75" thickBot="1" x14ac:dyDescent="0.3">
      <c r="B29">
        <v>25</v>
      </c>
      <c r="C29" s="3"/>
      <c r="D29" s="3"/>
      <c r="E29" s="3"/>
      <c r="G29" s="13">
        <f t="shared" si="7"/>
        <v>0</v>
      </c>
      <c r="H29" s="13">
        <f t="shared" si="1"/>
        <v>0</v>
      </c>
      <c r="I29" s="13">
        <f t="shared" si="2"/>
        <v>0</v>
      </c>
      <c r="J29" s="13">
        <f t="shared" si="3"/>
        <v>0</v>
      </c>
      <c r="K29" s="13">
        <f t="shared" si="4"/>
        <v>0</v>
      </c>
      <c r="L29" s="13">
        <f t="shared" si="5"/>
        <v>0</v>
      </c>
      <c r="M29" s="13">
        <f t="shared" si="6"/>
        <v>0</v>
      </c>
    </row>
    <row r="30" spans="2:13" ht="15.75" thickBot="1" x14ac:dyDescent="0.3">
      <c r="E30" s="10"/>
    </row>
    <row r="31" spans="2:13" ht="21.75" customHeight="1" thickBot="1" x14ac:dyDescent="0.3">
      <c r="B31" s="2" t="s">
        <v>12</v>
      </c>
      <c r="E31" s="10"/>
      <c r="F31" s="2" t="s">
        <v>3</v>
      </c>
      <c r="H31" t="s">
        <v>9</v>
      </c>
      <c r="I31" t="s">
        <v>10</v>
      </c>
      <c r="J31" t="s">
        <v>11</v>
      </c>
      <c r="K31" t="s">
        <v>9</v>
      </c>
      <c r="L31" t="s">
        <v>10</v>
      </c>
      <c r="M31" t="s">
        <v>11</v>
      </c>
    </row>
    <row r="32" spans="2:13" x14ac:dyDescent="0.25">
      <c r="C32" s="6" t="s">
        <v>1</v>
      </c>
      <c r="D32" s="7" t="s">
        <v>2</v>
      </c>
      <c r="E32" s="8" t="s">
        <v>6</v>
      </c>
      <c r="G32" s="8" t="s">
        <v>7</v>
      </c>
      <c r="H32" s="7" t="s">
        <v>5</v>
      </c>
      <c r="I32" s="7" t="s">
        <v>5</v>
      </c>
      <c r="J32" s="7" t="s">
        <v>5</v>
      </c>
      <c r="K32" s="7" t="s">
        <v>8</v>
      </c>
      <c r="L32" s="7" t="s">
        <v>8</v>
      </c>
      <c r="M32" s="8" t="s">
        <v>8</v>
      </c>
    </row>
    <row r="33" spans="2:13" ht="15.75" thickBot="1" x14ac:dyDescent="0.3">
      <c r="B33">
        <v>1</v>
      </c>
      <c r="C33" s="3">
        <v>100</v>
      </c>
      <c r="D33" s="3">
        <v>0.05</v>
      </c>
      <c r="E33" s="3">
        <v>0.04</v>
      </c>
      <c r="G33" s="13">
        <f>D33-E33</f>
        <v>1.0000000000000002E-2</v>
      </c>
      <c r="H33" s="13">
        <f>K33-C33</f>
        <v>8.3368065202634511E-2</v>
      </c>
      <c r="I33" s="13">
        <f>L33-C33</f>
        <v>0.1668056327482077</v>
      </c>
      <c r="J33" s="13">
        <f>M33-C33</f>
        <v>0.25031276057951857</v>
      </c>
      <c r="K33" s="13">
        <f>C33*EXP(G33*(30/360))</f>
        <v>100.08336806520263</v>
      </c>
      <c r="L33" s="13">
        <f>C33*EXP(G33*(60/360))</f>
        <v>100.16680563274821</v>
      </c>
      <c r="M33" s="13">
        <f>C33*EXP(G33*(90/360))</f>
        <v>100.25031276057952</v>
      </c>
    </row>
    <row r="34" spans="2:13" ht="15.75" thickBot="1" x14ac:dyDescent="0.3">
      <c r="E34" s="10"/>
    </row>
    <row r="35" spans="2:13" ht="15.75" thickBot="1" x14ac:dyDescent="0.3">
      <c r="B35" s="2" t="s">
        <v>13</v>
      </c>
      <c r="E35" s="10"/>
    </row>
    <row r="36" spans="2:13" ht="15.75" thickBot="1" x14ac:dyDescent="0.3">
      <c r="B36" s="11">
        <v>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1F63BF-4F64-43B1-A68E-E15FDDB006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5E7202-EBCC-46F8-9345-A3C688FBC8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E063BB-F1AD-4F8F-B11A-C17A73A983D1}">
  <ds:schemaRefs>
    <ds:schemaRef ds:uri="aa22a689-7505-4716-b802-371d38c763eb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2026-06-05T22:11:52Z</dcterms:created>
  <dcterms:modified xsi:type="dcterms:W3CDTF">2026-06-06T06:31:30Z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